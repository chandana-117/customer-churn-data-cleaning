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nam\Downloads\"/>
    </mc:Choice>
  </mc:AlternateContent>
  <xr:revisionPtr revIDLastSave="0" documentId="8_{AD23C6F1-8966-4906-B86E-02A1ED5FC770}" xr6:coauthVersionLast="47" xr6:coauthVersionMax="47" xr10:uidLastSave="{00000000-0000-0000-0000-000000000000}"/>
  <bookViews>
    <workbookView xWindow="-108" yWindow="-108" windowWidth="23256" windowHeight="12456" xr2:uid="{BEEEA0AC-199D-4B10-BFC4-EAC012D1FCDD}"/>
  </bookViews>
  <sheets>
    <sheet name="customer_churn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N30" i="1"/>
  <c r="N29" i="1"/>
  <c r="N26" i="1"/>
  <c r="N25" i="1"/>
  <c r="N24" i="1"/>
  <c r="N21" i="1"/>
  <c r="N20" i="1"/>
  <c r="N19" i="1"/>
  <c r="N16" i="1"/>
  <c r="N15" i="1"/>
  <c r="N12" i="1"/>
  <c r="N11" i="1"/>
  <c r="N10" i="1"/>
  <c r="N7" i="1"/>
  <c r="N6" i="1"/>
  <c r="N5" i="1"/>
  <c r="M2" i="1"/>
</calcChain>
</file>

<file path=xl/sharedStrings.xml><?xml version="1.0" encoding="utf-8"?>
<sst xmlns="http://schemas.openxmlformats.org/spreadsheetml/2006/main" count="139" uniqueCount="66">
  <si>
    <t>CustomerID</t>
  </si>
  <si>
    <t>Gender</t>
  </si>
  <si>
    <t>Age</t>
  </si>
  <si>
    <t>TenureMonths</t>
  </si>
  <si>
    <t>SubscriptionType</t>
  </si>
  <si>
    <t>MonthlyCharges</t>
  </si>
  <si>
    <t>TotalCharges</t>
  </si>
  <si>
    <t>ContractType</t>
  </si>
  <si>
    <t>SupportTickets</t>
  </si>
  <si>
    <t>PaymentMethod</t>
  </si>
  <si>
    <t>Churn</t>
  </si>
  <si>
    <t>CUST-1001</t>
  </si>
  <si>
    <t>Female</t>
  </si>
  <si>
    <t>Basic</t>
  </si>
  <si>
    <t>Month-to-Month</t>
  </si>
  <si>
    <t>Credit Card</t>
  </si>
  <si>
    <t>Yes</t>
  </si>
  <si>
    <t>CUST-1002</t>
  </si>
  <si>
    <t>Male</t>
  </si>
  <si>
    <t>Pro</t>
  </si>
  <si>
    <t>One Year</t>
  </si>
  <si>
    <t>Bank Transfer</t>
  </si>
  <si>
    <t>No</t>
  </si>
  <si>
    <t>CUST-1003</t>
  </si>
  <si>
    <t>UPI</t>
  </si>
  <si>
    <t>CUST-1004</t>
  </si>
  <si>
    <t>Enterprise</t>
  </si>
  <si>
    <t>Two Year</t>
  </si>
  <si>
    <t>CUST-1005</t>
  </si>
  <si>
    <t>Debit Card</t>
  </si>
  <si>
    <t>CUST-1006</t>
  </si>
  <si>
    <t>CUST-1007</t>
  </si>
  <si>
    <t>CUST-1008</t>
  </si>
  <si>
    <t>CUST-1009</t>
  </si>
  <si>
    <t>CUST-1010</t>
  </si>
  <si>
    <t>CUST-1011</t>
  </si>
  <si>
    <t>CUST-1012</t>
  </si>
  <si>
    <t>CUST-1013</t>
  </si>
  <si>
    <t>CUST-1014</t>
  </si>
  <si>
    <t>CUST-1015</t>
  </si>
  <si>
    <t>Churn Rate</t>
  </si>
  <si>
    <t>Constract Type</t>
  </si>
  <si>
    <t>Churned Customers</t>
  </si>
  <si>
    <t>Subscription Type</t>
  </si>
  <si>
    <t>Standard</t>
  </si>
  <si>
    <t>Premium</t>
  </si>
  <si>
    <t>Tenure Group</t>
  </si>
  <si>
    <t>0-12 Months</t>
  </si>
  <si>
    <t>13-24 Months</t>
  </si>
  <si>
    <t>25+ Months</t>
  </si>
  <si>
    <t>Monthly Charges Group</t>
  </si>
  <si>
    <t>Below ₹50</t>
  </si>
  <si>
    <t>₹50-₹100</t>
  </si>
  <si>
    <t>Above ₹100</t>
  </si>
  <si>
    <t>Support Tickets</t>
  </si>
  <si>
    <t>0-2 Tickets</t>
  </si>
  <si>
    <t>3-5 Tickets</t>
  </si>
  <si>
    <t>6+ Tickets</t>
  </si>
  <si>
    <t>Key Findings</t>
  </si>
  <si>
    <t>1. Overall churn rate is 47%.</t>
  </si>
  <si>
    <t>2. Month-to-Month customers account for all 7 churned customers.</t>
  </si>
  <si>
    <t>3. Basic subscription has the highest number of churned customers (5).</t>
  </si>
  <si>
    <t>4. Female customers had 4 churned customers, compared with 3 male customers.</t>
  </si>
  <si>
    <t>5. Customers with 0-12 months tenure had the highest churn (6 customers).</t>
  </si>
  <si>
    <t>6. Most churned customers had 3-5 support tickets (6 customers).</t>
  </si>
  <si>
    <t>7. Five churned customers had monthly charges below ₹50.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</si>
</sst>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Churned Customers by Contract Type</a:t>
            </a:r>
            <a:endParaRPr lang="en-IN"/>
          </a:p>
        </c:rich>
      </c:tx>
      <c:layout>
        <c:manualLayout>
          <c:xMode val="edge"/>
          <c:yMode val="edge"/>
          <c:x val="0.1949026684164479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customer_churn_sample!$M$4</c:f>
              <c:strCache>
                <c:ptCount val="1"/>
                <c:pt idx="0">
                  <c:v>Constract Type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customer_churn_sample!$L$5:$L$7</c:f>
              <c:numCache>
                <c:formatCode>General</c:formatCode>
                <c:ptCount val="3"/>
              </c:numCache>
            </c:numRef>
          </c:cat>
          <c:val>
            <c:numRef>
              <c:f>customer_churn_sample!$M$5:$M$7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3-449C-8BD0-E0E703F1DAD9}"/>
            </c:ext>
          </c:extLst>
        </c:ser>
        <c:ser>
          <c:idx val="1"/>
          <c:order val="1"/>
          <c:tx>
            <c:strRef>
              <c:f>customer_churn_sample!$N$4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customer_churn_sample!$L$5:$L$7</c:f>
              <c:numCache>
                <c:formatCode>General</c:formatCode>
                <c:ptCount val="3"/>
              </c:numCache>
            </c:numRef>
          </c:cat>
          <c:val>
            <c:numRef>
              <c:f>customer_churn_sample!$N$5:$N$7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B3-449C-8BD0-E0E703F1D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985136"/>
        <c:axId val="1436302768"/>
      </c:barChart>
      <c:catAx>
        <c:axId val="134298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302768"/>
        <c:crosses val="autoZero"/>
        <c:auto val="1"/>
        <c:lblAlgn val="ctr"/>
        <c:lblOffset val="100"/>
        <c:noMultiLvlLbl val="0"/>
      </c:catAx>
      <c:valAx>
        <c:axId val="143630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98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Churned Customers by Subscription Type</a:t>
            </a:r>
            <a:endParaRPr lang="en-US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803149606299221E-2"/>
          <c:y val="0.18097222222222226"/>
          <c:w val="0.91564129483814527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customer_churn_sample!$N$9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customer_churn_sample!$M$10:$M$12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customer_churn_sample!$N$10:$N$12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2-453F-8124-C51078EA0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016224"/>
        <c:axId val="143631860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customer_churn_sample!$O$9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customer_churn_sample!$M$10:$M$12</c15:sqref>
                        </c15:formulaRef>
                      </c:ext>
                    </c:extLst>
                    <c:strCache>
                      <c:ptCount val="3"/>
                      <c:pt idx="0">
                        <c:v>Basic</c:v>
                      </c:pt>
                      <c:pt idx="1">
                        <c:v>Standard</c:v>
                      </c:pt>
                      <c:pt idx="2">
                        <c:v>Premium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customer_churn_sample!$O$10:$O$12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2C2-453F-8124-C51078EA060F}"/>
                  </c:ext>
                </c:extLst>
              </c15:ser>
            </c15:filteredBarSeries>
          </c:ext>
        </c:extLst>
      </c:barChart>
      <c:catAx>
        <c:axId val="134301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318608"/>
        <c:crosses val="autoZero"/>
        <c:auto val="1"/>
        <c:lblAlgn val="ctr"/>
        <c:lblOffset val="100"/>
        <c:noMultiLvlLbl val="0"/>
      </c:catAx>
      <c:valAx>
        <c:axId val="143631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01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customer_churn_sample!$N$14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customer_churn_sample!$M$15:$M$17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customer_churn_sample!$N$15:$N$17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6-42BA-889E-B77B191C7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966576"/>
        <c:axId val="143633540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customer_churn_sample!$O$14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customer_churn_sample!$M$15:$M$17</c15:sqref>
                        </c15:formulaRef>
                      </c:ext>
                    </c:extLst>
                    <c:strCache>
                      <c:ptCount val="2"/>
                      <c:pt idx="0">
                        <c:v>Female</c:v>
                      </c:pt>
                      <c:pt idx="1">
                        <c:v>Male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customer_churn_sample!$O$15:$O$17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5F6-42BA-889E-B77B191C7041}"/>
                  </c:ext>
                </c:extLst>
              </c15:ser>
            </c15:filteredBarSeries>
          </c:ext>
        </c:extLst>
      </c:barChart>
      <c:catAx>
        <c:axId val="134296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335408"/>
        <c:crosses val="autoZero"/>
        <c:auto val="1"/>
        <c:lblAlgn val="ctr"/>
        <c:lblOffset val="100"/>
        <c:noMultiLvlLbl val="0"/>
      </c:catAx>
      <c:valAx>
        <c:axId val="143633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96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Churned Customers by Tenure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customer_churn_sample!$N$18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customer_churn_sample!$M$19:$M$21</c:f>
              <c:strCache>
                <c:ptCount val="3"/>
                <c:pt idx="0">
                  <c:v>0-12 Months</c:v>
                </c:pt>
                <c:pt idx="1">
                  <c:v>13-24 Months</c:v>
                </c:pt>
                <c:pt idx="2">
                  <c:v>25+ Months</c:v>
                </c:pt>
              </c:strCache>
            </c:strRef>
          </c:cat>
          <c:val>
            <c:numRef>
              <c:f>customer_churn_sample!$N$19:$N$21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D-4A96-9010-F87545EB5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971216"/>
        <c:axId val="143633876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customer_churn_sample!$O$18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customer_churn_sample!$M$19:$M$21</c15:sqref>
                        </c15:formulaRef>
                      </c:ext>
                    </c:extLst>
                    <c:strCache>
                      <c:ptCount val="3"/>
                      <c:pt idx="0">
                        <c:v>0-12 Months</c:v>
                      </c:pt>
                      <c:pt idx="1">
                        <c:v>13-24 Months</c:v>
                      </c:pt>
                      <c:pt idx="2">
                        <c:v>25+ Months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customer_churn_sample!$O$19:$O$21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0AD-4A96-9010-F87545EB5F1C}"/>
                  </c:ext>
                </c:extLst>
              </c15:ser>
            </c15:filteredBarSeries>
          </c:ext>
        </c:extLst>
      </c:barChart>
      <c:catAx>
        <c:axId val="134297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338768"/>
        <c:crosses val="autoZero"/>
        <c:auto val="1"/>
        <c:lblAlgn val="ctr"/>
        <c:lblOffset val="100"/>
        <c:noMultiLvlLbl val="0"/>
      </c:catAx>
      <c:valAx>
        <c:axId val="143633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97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Churned Customers by Monthly Charges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customer_churn_sample!$N$23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customer_churn_sample!$M$24:$M$26</c:f>
              <c:strCache>
                <c:ptCount val="3"/>
                <c:pt idx="0">
                  <c:v>Below ₹50</c:v>
                </c:pt>
                <c:pt idx="1">
                  <c:v>₹50-₹100</c:v>
                </c:pt>
                <c:pt idx="2">
                  <c:v>Above ₹100</c:v>
                </c:pt>
              </c:strCache>
            </c:strRef>
          </c:cat>
          <c:val>
            <c:numRef>
              <c:f>customer_churn_sample!$N$24:$N$26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6-4EA7-9819-5A0F3067A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9554816"/>
        <c:axId val="14363109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customer_churn_sample!$O$23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customer_churn_sample!$M$24:$M$26</c15:sqref>
                        </c15:formulaRef>
                      </c:ext>
                    </c:extLst>
                    <c:strCache>
                      <c:ptCount val="3"/>
                      <c:pt idx="0">
                        <c:v>Below ₹50</c:v>
                      </c:pt>
                      <c:pt idx="1">
                        <c:v>₹50-₹100</c:v>
                      </c:pt>
                      <c:pt idx="2">
                        <c:v>Above ₹100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customer_churn_sample!$O$24:$O$26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8F6-4EA7-9819-5A0F3067AC31}"/>
                  </c:ext>
                </c:extLst>
              </c15:ser>
            </c15:filteredBarSeries>
          </c:ext>
        </c:extLst>
      </c:barChart>
      <c:catAx>
        <c:axId val="111955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310928"/>
        <c:crosses val="autoZero"/>
        <c:auto val="1"/>
        <c:lblAlgn val="ctr"/>
        <c:lblOffset val="100"/>
        <c:noMultiLvlLbl val="0"/>
      </c:catAx>
      <c:valAx>
        <c:axId val="143631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55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Churned Customers by Support Tickets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customer_churn_sample!$N$28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customer_churn_sample!$M$29:$M$31</c:f>
              <c:strCache>
                <c:ptCount val="3"/>
                <c:pt idx="0">
                  <c:v>0-2 Tickets</c:v>
                </c:pt>
                <c:pt idx="1">
                  <c:v>3-5 Tickets</c:v>
                </c:pt>
                <c:pt idx="2">
                  <c:v>6+ Tickets</c:v>
                </c:pt>
              </c:strCache>
            </c:strRef>
          </c:cat>
          <c:val>
            <c:numRef>
              <c:f>customer_churn_sample!$N$29:$N$31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A-4517-8E92-02668D1E5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028672"/>
        <c:axId val="143632820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customer_churn_sample!$O$28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customer_churn_sample!$M$29:$M$31</c15:sqref>
                        </c15:formulaRef>
                      </c:ext>
                    </c:extLst>
                    <c:strCache>
                      <c:ptCount val="3"/>
                      <c:pt idx="0">
                        <c:v>0-2 Tickets</c:v>
                      </c:pt>
                      <c:pt idx="1">
                        <c:v>3-5 Tickets</c:v>
                      </c:pt>
                      <c:pt idx="2">
                        <c:v>6+ Tickets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customer_churn_sample!$O$29:$O$31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9EA-4517-8E92-02668D1E5D7F}"/>
                  </c:ext>
                </c:extLst>
              </c15:ser>
            </c15:filteredBarSeries>
          </c:ext>
        </c:extLst>
      </c:barChart>
      <c:catAx>
        <c:axId val="154402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328208"/>
        <c:crosses val="autoZero"/>
        <c:auto val="1"/>
        <c:lblAlgn val="ctr"/>
        <c:lblOffset val="100"/>
        <c:noMultiLvlLbl val="0"/>
      </c:catAx>
      <c:valAx>
        <c:axId val="14363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2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18</xdr:row>
      <xdr:rowOff>140970</xdr:rowOff>
    </xdr:from>
    <xdr:to>
      <xdr:col>9</xdr:col>
      <xdr:colOff>541020</xdr:colOff>
      <xdr:row>33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C830E-AED5-EE26-033E-2BD351A64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624840</xdr:colOff>
      <xdr:row>34</xdr:row>
      <xdr:rowOff>95250</xdr:rowOff>
    </xdr:from>
    <xdr:to>
      <xdr:col>9</xdr:col>
      <xdr:colOff>586740</xdr:colOff>
      <xdr:row>49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F51F67-D0ED-A352-747A-8A59C1528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594360</xdr:colOff>
      <xdr:row>50</xdr:row>
      <xdr:rowOff>11430</xdr:rowOff>
    </xdr:from>
    <xdr:to>
      <xdr:col>9</xdr:col>
      <xdr:colOff>556260</xdr:colOff>
      <xdr:row>65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8B3F1C-7021-8BCF-9ACD-A60975599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30480</xdr:colOff>
      <xdr:row>47</xdr:row>
      <xdr:rowOff>133350</xdr:rowOff>
    </xdr:from>
    <xdr:to>
      <xdr:col>25</xdr:col>
      <xdr:colOff>335280</xdr:colOff>
      <xdr:row>62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AE37D5-A4F0-BFA5-37C5-F46F1E571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228600</xdr:colOff>
      <xdr:row>47</xdr:row>
      <xdr:rowOff>110490</xdr:rowOff>
    </xdr:from>
    <xdr:to>
      <xdr:col>17</xdr:col>
      <xdr:colOff>411480</xdr:colOff>
      <xdr:row>62</xdr:row>
      <xdr:rowOff>110490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32D1FD-440D-DE6D-EB7A-96E873773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228600</xdr:colOff>
      <xdr:row>31</xdr:row>
      <xdr:rowOff>87630</xdr:rowOff>
    </xdr:from>
    <xdr:to>
      <xdr:col>22</xdr:col>
      <xdr:colOff>533400</xdr:colOff>
      <xdr:row>46</xdr:row>
      <xdr:rowOff>87630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6053837-AB61-7894-99BE-255B551DC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0B5F0-1A56-4E34-93FB-E88CDD4DD13B}">
  <dimension ref="A1:N40"/>
  <sheetViews>
    <sheetView tabSelected="1" topLeftCell="K38" workbookViewId="0">
      <selection activeCell="Q30" sqref="Q30"/>
    </sheetView>
  </sheetViews>
  <sheetFormatPr defaultRowHeight="14.4" x14ac:dyDescent="0.3"/>
  <cols>
    <col min="1" max="1" width="10.5546875" bestFit="1" customWidth="1"/>
    <col min="2" max="2" width="7" bestFit="1" customWidth="1"/>
    <col min="3" max="3" width="4" bestFit="1" customWidth="1"/>
    <col min="4" max="4" width="12.44140625" bestFit="1" customWidth="1"/>
    <col min="5" max="5" width="14.77734375" bestFit="1" customWidth="1"/>
    <col min="6" max="6" width="14" bestFit="1" customWidth="1"/>
    <col min="7" max="7" width="11.5546875" bestFit="1" customWidth="1"/>
    <col min="8" max="8" width="14" bestFit="1" customWidth="1"/>
    <col min="9" max="9" width="12.88671875" bestFit="1" customWidth="1"/>
    <col min="10" max="10" width="14.109375" bestFit="1" customWidth="1"/>
    <col min="11" max="11" width="5.88671875" customWidth="1"/>
    <col min="12" max="12" width="13.6640625" bestFit="1" customWidth="1"/>
    <col min="13" max="13" width="67.77734375" bestFit="1" customWidth="1"/>
    <col min="14" max="14" width="17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40</v>
      </c>
    </row>
    <row r="2" spans="1:14" x14ac:dyDescent="0.3">
      <c r="A2" t="s">
        <v>11</v>
      </c>
      <c r="B2" t="s">
        <v>12</v>
      </c>
      <c r="C2">
        <v>34</v>
      </c>
      <c r="D2">
        <v>12</v>
      </c>
      <c r="E2" t="s">
        <v>13</v>
      </c>
      <c r="F2">
        <v>49.99</v>
      </c>
      <c r="G2">
        <v>599.88</v>
      </c>
      <c r="H2" t="s">
        <v>14</v>
      </c>
      <c r="I2">
        <v>3</v>
      </c>
      <c r="J2" t="s">
        <v>15</v>
      </c>
      <c r="K2" t="s">
        <v>16</v>
      </c>
      <c r="M2" s="1">
        <f>COUNTIF(K2:K16,"Yes")/COUNTA(K2:K16)</f>
        <v>0.46666666666666667</v>
      </c>
    </row>
    <row r="3" spans="1:14" x14ac:dyDescent="0.3">
      <c r="A3" t="s">
        <v>17</v>
      </c>
      <c r="B3" t="s">
        <v>18</v>
      </c>
      <c r="C3">
        <v>45</v>
      </c>
      <c r="D3">
        <v>24</v>
      </c>
      <c r="E3" t="s">
        <v>19</v>
      </c>
      <c r="F3">
        <v>79.989999999999995</v>
      </c>
      <c r="G3">
        <v>1919.76</v>
      </c>
      <c r="H3" t="s">
        <v>20</v>
      </c>
      <c r="I3">
        <v>1</v>
      </c>
      <c r="J3" t="s">
        <v>21</v>
      </c>
      <c r="K3" t="s">
        <v>22</v>
      </c>
    </row>
    <row r="4" spans="1:14" x14ac:dyDescent="0.3">
      <c r="A4" t="s">
        <v>23</v>
      </c>
      <c r="B4" t="s">
        <v>12</v>
      </c>
      <c r="C4">
        <v>29</v>
      </c>
      <c r="D4">
        <v>6</v>
      </c>
      <c r="E4" t="s">
        <v>13</v>
      </c>
      <c r="F4">
        <v>49.99</v>
      </c>
      <c r="G4">
        <v>299.94</v>
      </c>
      <c r="H4" t="s">
        <v>14</v>
      </c>
      <c r="I4">
        <v>5</v>
      </c>
      <c r="J4" t="s">
        <v>24</v>
      </c>
      <c r="K4" t="s">
        <v>16</v>
      </c>
      <c r="M4" t="s">
        <v>41</v>
      </c>
      <c r="N4" t="s">
        <v>42</v>
      </c>
    </row>
    <row r="5" spans="1:14" x14ac:dyDescent="0.3">
      <c r="A5" t="s">
        <v>25</v>
      </c>
      <c r="B5" t="s">
        <v>18</v>
      </c>
      <c r="C5">
        <v>52</v>
      </c>
      <c r="D5">
        <v>36</v>
      </c>
      <c r="E5" t="s">
        <v>26</v>
      </c>
      <c r="F5">
        <v>149.99</v>
      </c>
      <c r="G5">
        <v>5399.64</v>
      </c>
      <c r="H5" t="s">
        <v>27</v>
      </c>
      <c r="I5">
        <v>0</v>
      </c>
      <c r="J5" t="s">
        <v>15</v>
      </c>
      <c r="K5" t="s">
        <v>22</v>
      </c>
      <c r="M5" t="s">
        <v>14</v>
      </c>
      <c r="N5">
        <f>COUNTIFS(H2:H16,"Month-to-Month",K2:K16,"Yes")</f>
        <v>7</v>
      </c>
    </row>
    <row r="6" spans="1:14" x14ac:dyDescent="0.3">
      <c r="A6" t="s">
        <v>28</v>
      </c>
      <c r="B6" t="s">
        <v>12</v>
      </c>
      <c r="C6">
        <v>41</v>
      </c>
      <c r="D6">
        <v>8</v>
      </c>
      <c r="E6" t="s">
        <v>19</v>
      </c>
      <c r="F6">
        <v>79.989999999999995</v>
      </c>
      <c r="G6">
        <v>639.91999999999996</v>
      </c>
      <c r="H6" t="s">
        <v>14</v>
      </c>
      <c r="I6">
        <v>4</v>
      </c>
      <c r="J6" t="s">
        <v>29</v>
      </c>
      <c r="K6" t="s">
        <v>16</v>
      </c>
      <c r="M6" t="s">
        <v>20</v>
      </c>
      <c r="N6">
        <f>COUNTIFS(H2:H16,"One Year",K2:K16,"Yes")</f>
        <v>0</v>
      </c>
    </row>
    <row r="7" spans="1:14" x14ac:dyDescent="0.3">
      <c r="A7" t="s">
        <v>30</v>
      </c>
      <c r="B7" t="s">
        <v>18</v>
      </c>
      <c r="C7">
        <v>31</v>
      </c>
      <c r="D7">
        <v>18</v>
      </c>
      <c r="E7" t="s">
        <v>13</v>
      </c>
      <c r="F7">
        <v>49.99</v>
      </c>
      <c r="G7">
        <v>899.82</v>
      </c>
      <c r="H7" t="s">
        <v>20</v>
      </c>
      <c r="I7">
        <v>2</v>
      </c>
      <c r="J7" t="s">
        <v>24</v>
      </c>
      <c r="K7" t="s">
        <v>22</v>
      </c>
      <c r="M7" t="s">
        <v>27</v>
      </c>
      <c r="N7">
        <f>COUNTIFS(H2:H16,"Two Year",K2:K16,"Yes")</f>
        <v>0</v>
      </c>
    </row>
    <row r="8" spans="1:14" x14ac:dyDescent="0.3">
      <c r="A8" t="s">
        <v>31</v>
      </c>
      <c r="B8" t="s">
        <v>12</v>
      </c>
      <c r="C8">
        <v>23</v>
      </c>
      <c r="D8">
        <v>3</v>
      </c>
      <c r="E8" t="s">
        <v>13</v>
      </c>
      <c r="F8">
        <v>49.99</v>
      </c>
      <c r="G8">
        <v>149.97</v>
      </c>
      <c r="H8" t="s">
        <v>14</v>
      </c>
      <c r="I8">
        <v>6</v>
      </c>
      <c r="J8" t="s">
        <v>15</v>
      </c>
      <c r="K8" t="s">
        <v>16</v>
      </c>
    </row>
    <row r="9" spans="1:14" x14ac:dyDescent="0.3">
      <c r="A9" t="s">
        <v>32</v>
      </c>
      <c r="B9" t="s">
        <v>18</v>
      </c>
      <c r="C9">
        <v>60</v>
      </c>
      <c r="D9">
        <v>48</v>
      </c>
      <c r="E9" t="s">
        <v>26</v>
      </c>
      <c r="F9">
        <v>149.99</v>
      </c>
      <c r="G9">
        <v>7199.52</v>
      </c>
      <c r="H9" t="s">
        <v>27</v>
      </c>
      <c r="I9">
        <v>1</v>
      </c>
      <c r="J9" t="s">
        <v>21</v>
      </c>
      <c r="K9" t="s">
        <v>22</v>
      </c>
      <c r="M9" t="s">
        <v>43</v>
      </c>
      <c r="N9" t="s">
        <v>42</v>
      </c>
    </row>
    <row r="10" spans="1:14" x14ac:dyDescent="0.3">
      <c r="A10" t="s">
        <v>33</v>
      </c>
      <c r="B10" t="s">
        <v>12</v>
      </c>
      <c r="C10">
        <v>38</v>
      </c>
      <c r="D10">
        <v>15</v>
      </c>
      <c r="E10" t="s">
        <v>19</v>
      </c>
      <c r="F10">
        <v>79.989999999999995</v>
      </c>
      <c r="G10">
        <v>1199.8499999999999</v>
      </c>
      <c r="H10" t="s">
        <v>20</v>
      </c>
      <c r="I10">
        <v>2</v>
      </c>
      <c r="J10" t="s">
        <v>15</v>
      </c>
      <c r="K10" t="s">
        <v>22</v>
      </c>
      <c r="M10" t="s">
        <v>13</v>
      </c>
      <c r="N10">
        <f>COUNTIFS(E2:E16,"Basic",K2:K16,"Yes")</f>
        <v>5</v>
      </c>
    </row>
    <row r="11" spans="1:14" x14ac:dyDescent="0.3">
      <c r="A11" t="s">
        <v>34</v>
      </c>
      <c r="B11" t="s">
        <v>18</v>
      </c>
      <c r="C11">
        <v>27</v>
      </c>
      <c r="D11">
        <v>4</v>
      </c>
      <c r="E11" t="s">
        <v>13</v>
      </c>
      <c r="F11">
        <v>49.99</v>
      </c>
      <c r="G11">
        <v>199.96</v>
      </c>
      <c r="H11" t="s">
        <v>14</v>
      </c>
      <c r="I11">
        <v>4</v>
      </c>
      <c r="J11" t="s">
        <v>24</v>
      </c>
      <c r="K11" t="s">
        <v>16</v>
      </c>
      <c r="M11" t="s">
        <v>44</v>
      </c>
      <c r="N11">
        <f>COUNTIFS(E2:E16,"Standard",K2:K16,"Yes")</f>
        <v>0</v>
      </c>
    </row>
    <row r="12" spans="1:14" x14ac:dyDescent="0.3">
      <c r="A12" t="s">
        <v>35</v>
      </c>
      <c r="B12" t="s">
        <v>12</v>
      </c>
      <c r="C12">
        <v>49</v>
      </c>
      <c r="D12">
        <v>30</v>
      </c>
      <c r="E12" t="s">
        <v>26</v>
      </c>
      <c r="F12">
        <v>149.99</v>
      </c>
      <c r="G12">
        <v>4499.7</v>
      </c>
      <c r="H12" t="s">
        <v>27</v>
      </c>
      <c r="I12">
        <v>0</v>
      </c>
      <c r="J12" t="s">
        <v>15</v>
      </c>
      <c r="K12" t="s">
        <v>22</v>
      </c>
      <c r="M12" t="s">
        <v>45</v>
      </c>
      <c r="N12">
        <f>COUNTIFS(E2:E16,"Premium",K2:K16,"Yes")</f>
        <v>0</v>
      </c>
    </row>
    <row r="13" spans="1:14" x14ac:dyDescent="0.3">
      <c r="A13" t="s">
        <v>36</v>
      </c>
      <c r="B13" t="s">
        <v>18</v>
      </c>
      <c r="C13">
        <v>33</v>
      </c>
      <c r="D13">
        <v>14</v>
      </c>
      <c r="E13" t="s">
        <v>19</v>
      </c>
      <c r="F13">
        <v>79.989999999999995</v>
      </c>
      <c r="G13">
        <v>1119.8599999999999</v>
      </c>
      <c r="H13" t="s">
        <v>14</v>
      </c>
      <c r="I13">
        <v>3</v>
      </c>
      <c r="J13" t="s">
        <v>29</v>
      </c>
      <c r="K13" t="s">
        <v>16</v>
      </c>
    </row>
    <row r="14" spans="1:14" x14ac:dyDescent="0.3">
      <c r="A14" t="s">
        <v>37</v>
      </c>
      <c r="B14" t="s">
        <v>12</v>
      </c>
      <c r="C14">
        <v>55</v>
      </c>
      <c r="D14">
        <v>22</v>
      </c>
      <c r="E14" t="s">
        <v>13</v>
      </c>
      <c r="F14">
        <v>49.99</v>
      </c>
      <c r="G14">
        <v>1099.78</v>
      </c>
      <c r="H14" t="s">
        <v>20</v>
      </c>
      <c r="I14">
        <v>1</v>
      </c>
      <c r="J14" t="s">
        <v>21</v>
      </c>
      <c r="K14" t="s">
        <v>22</v>
      </c>
      <c r="M14" t="s">
        <v>1</v>
      </c>
      <c r="N14" t="s">
        <v>42</v>
      </c>
    </row>
    <row r="15" spans="1:14" x14ac:dyDescent="0.3">
      <c r="A15" t="s">
        <v>38</v>
      </c>
      <c r="B15" t="s">
        <v>18</v>
      </c>
      <c r="C15">
        <v>26</v>
      </c>
      <c r="D15">
        <v>2</v>
      </c>
      <c r="E15" t="s">
        <v>13</v>
      </c>
      <c r="F15">
        <v>49.99</v>
      </c>
      <c r="G15">
        <v>99.98</v>
      </c>
      <c r="H15" t="s">
        <v>14</v>
      </c>
      <c r="I15">
        <v>5</v>
      </c>
      <c r="J15" t="s">
        <v>24</v>
      </c>
      <c r="K15" t="s">
        <v>16</v>
      </c>
      <c r="M15" t="s">
        <v>12</v>
      </c>
      <c r="N15">
        <f>COUNTIFS(B2:B16,"Female",K2:K16,"Yes")</f>
        <v>4</v>
      </c>
    </row>
    <row r="16" spans="1:14" x14ac:dyDescent="0.3">
      <c r="A16" t="s">
        <v>39</v>
      </c>
      <c r="B16" t="s">
        <v>12</v>
      </c>
      <c r="C16">
        <v>43</v>
      </c>
      <c r="D16">
        <v>40</v>
      </c>
      <c r="E16" t="s">
        <v>26</v>
      </c>
      <c r="F16">
        <v>149.99</v>
      </c>
      <c r="G16">
        <v>5999.6</v>
      </c>
      <c r="H16" t="s">
        <v>27</v>
      </c>
      <c r="I16">
        <v>1</v>
      </c>
      <c r="J16" t="s">
        <v>15</v>
      </c>
      <c r="K16" t="s">
        <v>22</v>
      </c>
      <c r="M16" t="s">
        <v>18</v>
      </c>
      <c r="N16">
        <f>COUNTIFS(B2:B16,"Male",K2:K16,"Yes")</f>
        <v>3</v>
      </c>
    </row>
    <row r="18" spans="13:14" x14ac:dyDescent="0.3">
      <c r="M18" t="s">
        <v>46</v>
      </c>
      <c r="N18" t="s">
        <v>42</v>
      </c>
    </row>
    <row r="19" spans="13:14" x14ac:dyDescent="0.3">
      <c r="M19" t="s">
        <v>47</v>
      </c>
      <c r="N19">
        <f>COUNTIFS(D2:D16,"&gt;=0",D2:D16,"&lt;=12",K2:K16,"Yes")</f>
        <v>6</v>
      </c>
    </row>
    <row r="20" spans="13:14" x14ac:dyDescent="0.3">
      <c r="M20" t="s">
        <v>48</v>
      </c>
      <c r="N20">
        <f>COUNTIFS(D2:D16,"&gt;=13",D2:D16,"&lt;=24",K2:K16,"Yes")</f>
        <v>1</v>
      </c>
    </row>
    <row r="21" spans="13:14" x14ac:dyDescent="0.3">
      <c r="M21" t="s">
        <v>49</v>
      </c>
      <c r="N21">
        <f>COUNTIFS(D2:D16,"&gt;=25",K2:K16,"Yes")</f>
        <v>0</v>
      </c>
    </row>
    <row r="23" spans="13:14" x14ac:dyDescent="0.3">
      <c r="M23" t="s">
        <v>50</v>
      </c>
      <c r="N23" t="s">
        <v>42</v>
      </c>
    </row>
    <row r="24" spans="13:14" x14ac:dyDescent="0.3">
      <c r="M24" t="s">
        <v>51</v>
      </c>
      <c r="N24">
        <f>COUNTIFS(F2:F16,"&lt;50",K2:K16,"Yes")</f>
        <v>5</v>
      </c>
    </row>
    <row r="25" spans="13:14" x14ac:dyDescent="0.3">
      <c r="M25" t="s">
        <v>52</v>
      </c>
      <c r="N25">
        <f>COUNTIFS(F2:F16,"&gt;=50",F2:F16,"&lt;=100",K2:K16,"Yes")</f>
        <v>2</v>
      </c>
    </row>
    <row r="26" spans="13:14" x14ac:dyDescent="0.3">
      <c r="M26" t="s">
        <v>53</v>
      </c>
      <c r="N26">
        <f>COUNTIFS(F2:F16,"&gt;100",K2:K16,"Yes")</f>
        <v>0</v>
      </c>
    </row>
    <row r="28" spans="13:14" x14ac:dyDescent="0.3">
      <c r="M28" t="s">
        <v>54</v>
      </c>
      <c r="N28" t="s">
        <v>42</v>
      </c>
    </row>
    <row r="29" spans="13:14" x14ac:dyDescent="0.3">
      <c r="M29" t="s">
        <v>55</v>
      </c>
      <c r="N29">
        <f>COUNTIFS(I2:I16,"&gt;=0",I2:I16,"&lt;=2",K2:K16,"Yes")</f>
        <v>0</v>
      </c>
    </row>
    <row r="30" spans="13:14" x14ac:dyDescent="0.3">
      <c r="M30" t="s">
        <v>56</v>
      </c>
      <c r="N30">
        <f>COUNTIFS(I2:I16,"&gt;=3",I2:I16,"&lt;=5",K2:K16,"Yes")</f>
        <v>6</v>
      </c>
    </row>
    <row r="31" spans="13:14" x14ac:dyDescent="0.3">
      <c r="M31" t="s">
        <v>57</v>
      </c>
      <c r="N31">
        <f>COUNTIFS(I2:I16,"&gt;=6",K2:K16,"Yes")</f>
        <v>1</v>
      </c>
    </row>
    <row r="33" spans="13:13" x14ac:dyDescent="0.3">
      <c r="M33" t="s">
        <v>58</v>
      </c>
    </row>
    <row r="34" spans="13:13" x14ac:dyDescent="0.3">
      <c r="M34" t="s">
        <v>59</v>
      </c>
    </row>
    <row r="35" spans="13:13" x14ac:dyDescent="0.3">
      <c r="M35" t="s">
        <v>60</v>
      </c>
    </row>
    <row r="36" spans="13:13" x14ac:dyDescent="0.3">
      <c r="M36" t="s">
        <v>61</v>
      </c>
    </row>
    <row r="37" spans="13:13" x14ac:dyDescent="0.3">
      <c r="M37" t="s">
        <v>62</v>
      </c>
    </row>
    <row r="38" spans="13:13" x14ac:dyDescent="0.3">
      <c r="M38" t="s">
        <v>63</v>
      </c>
    </row>
    <row r="39" spans="13:13" x14ac:dyDescent="0.3">
      <c r="M39" t="s">
        <v>64</v>
      </c>
    </row>
    <row r="40" spans="13:13" x14ac:dyDescent="0.3">
      <c r="M40" t="s">
        <v>65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chandana.dornala17@gmail.com</cp:lastModifiedBy>
  <dcterms:created xsi:type="dcterms:W3CDTF">2026-09-15T20:41:38Z</dcterms:created>
  <dcterms:modified xsi:type="dcterms:W3CDTF">2026-09-16T18:40:56Z</dcterms:modified>
</cp:coreProperties>
</file>